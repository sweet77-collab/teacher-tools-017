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評量規準 Rubric" sheetId="1" state="visible" r:id="rId3"/>
    <sheet name="班級計分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<sst xmlns="http://schemas.openxmlformats.org/spreadsheetml/2006/main" count="60" uniqueCount="55">
  <si>
    <r>
      <rPr>
        <b val="true"/>
        <sz val="13"/>
        <color rgb="FFFFFFFF"/>
        <rFont val="Arial"/>
        <family val="0"/>
        <charset val="1"/>
      </rPr>
      <t xml:space="preserve">L7 TED Talks — My 1-minute TED Talk </t>
    </r>
    <r>
      <rPr>
        <b val="true"/>
        <sz val="13"/>
        <color rgb="FFFFFFFF"/>
        <rFont val="Noto Sans CJK SC"/>
        <family val="2"/>
      </rPr>
      <t xml:space="preserve">口說活動評量規準</t>
    </r>
  </si>
  <si>
    <r>
      <rPr>
        <sz val="9"/>
        <color rgb="FF9A9590"/>
        <rFont val="Arial"/>
        <family val="0"/>
        <charset val="1"/>
      </rPr>
      <t xml:space="preserve">114</t>
    </r>
    <r>
      <rPr>
        <sz val="9"/>
        <color rgb="FF9A9590"/>
        <rFont val="Noto Sans CJK SC"/>
        <family val="2"/>
      </rPr>
      <t xml:space="preserve">學年度第</t>
    </r>
    <r>
      <rPr>
        <sz val="9"/>
        <color rgb="FF9A9590"/>
        <rFont val="Arial"/>
        <family val="0"/>
        <charset val="1"/>
      </rPr>
      <t xml:space="preserve">2</t>
    </r>
    <r>
      <rPr>
        <sz val="9"/>
        <color rgb="FF9A9590"/>
        <rFont val="Noto Sans CJK SC"/>
        <family val="2"/>
      </rPr>
      <t xml:space="preserve">學期　</t>
    </r>
    <r>
      <rPr>
        <sz val="9"/>
        <color rgb="FF9A9590"/>
        <rFont val="Arial"/>
        <family val="0"/>
        <charset val="1"/>
      </rPr>
      <t xml:space="preserve">·</t>
    </r>
    <r>
      <rPr>
        <sz val="9"/>
        <color rgb="FF9A9590"/>
        <rFont val="Noto Sans CJK SC"/>
        <family val="2"/>
      </rPr>
      <t xml:space="preserve">　全英社群研習　</t>
    </r>
    <r>
      <rPr>
        <sz val="9"/>
        <color rgb="FF9A9590"/>
        <rFont val="Arial"/>
        <family val="0"/>
        <charset val="1"/>
      </rPr>
      <t xml:space="preserve">·</t>
    </r>
    <r>
      <rPr>
        <sz val="9"/>
        <color rgb="FF9A9590"/>
        <rFont val="Noto Sans CJK SC"/>
        <family val="2"/>
      </rPr>
      <t xml:space="preserve">　林怡青老師</t>
    </r>
  </si>
  <si>
    <t xml:space="preserve">分數</t>
  </si>
  <si>
    <t xml:space="preserve">等第</t>
  </si>
  <si>
    <r>
      <rPr>
        <b val="true"/>
        <sz val="9"/>
        <color rgb="FFFFFFFF"/>
        <rFont val="Arial"/>
        <family val="0"/>
        <charset val="1"/>
      </rPr>
      <t xml:space="preserve">Content </t>
    </r>
    <r>
      <rPr>
        <b val="true"/>
        <sz val="9"/>
        <color rgb="FFFFFFFF"/>
        <rFont val="Noto Sans CJK SC"/>
        <family val="2"/>
      </rPr>
      <t xml:space="preserve">內容</t>
    </r>
  </si>
  <si>
    <r>
      <rPr>
        <b val="true"/>
        <sz val="9"/>
        <color rgb="FFFFFFFF"/>
        <rFont val="Arial"/>
        <family val="0"/>
        <charset val="1"/>
      </rPr>
      <t xml:space="preserve">Language </t>
    </r>
    <r>
      <rPr>
        <b val="true"/>
        <sz val="9"/>
        <color rgb="FFFFFFFF"/>
        <rFont val="Noto Sans CJK SC"/>
        <family val="2"/>
      </rPr>
      <t xml:space="preserve">語言</t>
    </r>
  </si>
  <si>
    <r>
      <rPr>
        <b val="true"/>
        <sz val="9"/>
        <color rgb="FFFFFFFF"/>
        <rFont val="Arial"/>
        <family val="0"/>
        <charset val="1"/>
      </rPr>
      <t xml:space="preserve">Delivery </t>
    </r>
    <r>
      <rPr>
        <b val="true"/>
        <sz val="9"/>
        <color rgb="FFFFFFFF"/>
        <rFont val="Noto Sans CJK SC"/>
        <family val="2"/>
      </rPr>
      <t xml:space="preserve">表達</t>
    </r>
  </si>
  <si>
    <r>
      <rPr>
        <b val="true"/>
        <sz val="9"/>
        <color rgb="FFFFFFFF"/>
        <rFont val="Arial"/>
        <family val="0"/>
        <charset val="1"/>
      </rPr>
      <t xml:space="preserve">Structure </t>
    </r>
    <r>
      <rPr>
        <b val="true"/>
        <sz val="9"/>
        <color rgb="FFFFFFFF"/>
        <rFont val="Noto Sans CJK SC"/>
        <family val="2"/>
      </rPr>
      <t xml:space="preserve">結構</t>
    </r>
  </si>
  <si>
    <t xml:space="preserve">整體印象分說明</t>
  </si>
  <si>
    <t xml:space="preserve">A+</t>
  </si>
  <si>
    <t xml:space="preserve">Presents a clear, original idea with a powerful message; uses a memorable key phrase.</t>
  </si>
  <si>
    <t xml:space="preserve">Uses accurate, varied vocabulary; minimal errors; natural and fluent.</t>
  </si>
  <si>
    <t xml:space="preserve">Confident, good eye contact, appropriate pace and volume; engaging delivery.</t>
  </si>
  <si>
    <t xml:space="preserve">Clear opening, focused body, strong closing; well-organized.</t>
  </si>
  <si>
    <t xml:space="preserve">Outstanding — exceeds expectations in all areas.</t>
  </si>
  <si>
    <t xml:space="preserve">A</t>
  </si>
  <si>
    <t xml:space="preserve">Idea is clear and focused; message is understandable; key phrase is present.</t>
  </si>
  <si>
    <t xml:space="preserve">Generally accurate; minor errors that don't affect understanding.</t>
  </si>
  <si>
    <t xml:space="preserve">Mostly confident; maintains eye contact; pace and volume mostly appropriate.</t>
  </si>
  <si>
    <t xml:space="preserve">Clear structure; slight weakness in one area.</t>
  </si>
  <si>
    <t xml:space="preserve">Good — meets expectations with minor gaps.</t>
  </si>
  <si>
    <t xml:space="preserve">B</t>
  </si>
  <si>
    <t xml:space="preserve">Idea is present but somewhat vague; message could be clearer.</t>
  </si>
  <si>
    <t xml:space="preserve">Some errors; communication is understandable but limited.</t>
  </si>
  <si>
    <t xml:space="preserve">Somewhat nervous; reads notes occasionally; pace uneven.</t>
  </si>
  <si>
    <t xml:space="preserve">Some structure evident; transitions are weak.</t>
  </si>
  <si>
    <t xml:space="preserve">Satisfactory — meets basic expectations.</t>
  </si>
  <si>
    <t xml:space="preserve">C</t>
  </si>
  <si>
    <t xml:space="preserve">Idea is unclear or underdeveloped; message is hard to identify.</t>
  </si>
  <si>
    <t xml:space="preserve">Frequent errors; meaning is sometimes unclear.</t>
  </si>
  <si>
    <t xml:space="preserve">Noticeably nervous; relies heavily on notes; difficult to follow.</t>
  </si>
  <si>
    <t xml:space="preserve">Structure is weak; difficult to identify opening or closing.</t>
  </si>
  <si>
    <t xml:space="preserve">Needs improvement — partially meets expectations.</t>
  </si>
  <si>
    <t xml:space="preserve">D</t>
  </si>
  <si>
    <t xml:space="preserve">No clear idea or message; talk is off-topic or extremely brief.</t>
  </si>
  <si>
    <t xml:space="preserve">Errors seriously impede communication.</t>
  </si>
  <si>
    <t xml:space="preserve">Inaudible or incomprehensible; no eye contact; reads entire talk.</t>
  </si>
  <si>
    <t xml:space="preserve">No identifiable structure.</t>
  </si>
  <si>
    <t xml:space="preserve">Insufficient — does not meet basic expectations.</t>
  </si>
  <si>
    <r>
      <rPr>
        <i val="true"/>
        <sz val="9"/>
        <color rgb="FF9A9590"/>
        <rFont val="Noto Sans CJK SC"/>
        <family val="2"/>
      </rPr>
      <t xml:space="preserve">使用說明：整體印象分（</t>
    </r>
    <r>
      <rPr>
        <i val="true"/>
        <sz val="9"/>
        <color rgb="FF9A9590"/>
        <rFont val="Arial"/>
        <family val="0"/>
        <charset val="1"/>
      </rPr>
      <t xml:space="preserve">1–5</t>
    </r>
    <r>
      <rPr>
        <i val="true"/>
        <sz val="9"/>
        <color rgb="FF9A9590"/>
        <rFont val="Noto Sans CJK SC"/>
        <family val="2"/>
      </rPr>
      <t xml:space="preserve">分）——老師觀察學生整體表現後給分，不需要四個向度分開計算。右側欄位供參考，不納入計分。</t>
    </r>
  </si>
  <si>
    <r>
      <rPr>
        <b val="true"/>
        <sz val="13"/>
        <color rgb="FFFFFFFF"/>
        <rFont val="Arial"/>
        <family val="0"/>
        <charset val="1"/>
      </rPr>
      <t xml:space="preserve">L7 TED Talks </t>
    </r>
    <r>
      <rPr>
        <b val="true"/>
        <sz val="13"/>
        <color rgb="FFFFFFFF"/>
        <rFont val="Noto Sans CJK SC"/>
        <family val="2"/>
      </rPr>
      <t xml:space="preserve">口說活動 — 班級計分表</t>
    </r>
  </si>
  <si>
    <t xml:space="preserve">班級：＿＿＿＿　　日期：＿＿＿＿　　授課教師：林怡青老師</t>
  </si>
  <si>
    <t xml:space="preserve">座號</t>
  </si>
  <si>
    <t xml:space="preserve">姓名</t>
  </si>
  <si>
    <r>
      <rPr>
        <b val="true"/>
        <sz val="9"/>
        <color rgb="FFFFFFFF"/>
        <rFont val="Noto Sans CJK SC"/>
        <family val="2"/>
      </rPr>
      <t xml:space="preserve">整體印象分（</t>
    </r>
    <r>
      <rPr>
        <b val="true"/>
        <sz val="9"/>
        <color rgb="FFFFFFFF"/>
        <rFont val="Arial"/>
        <family val="0"/>
        <charset val="1"/>
      </rPr>
      <t xml:space="preserve">1–5</t>
    </r>
    <r>
      <rPr>
        <b val="true"/>
        <sz val="9"/>
        <color rgb="FFFFFFFF"/>
        <rFont val="Noto Sans CJK SC"/>
        <family val="2"/>
      </rPr>
      <t xml:space="preserve">）</t>
    </r>
  </si>
  <si>
    <t xml:space="preserve">備註</t>
  </si>
  <si>
    <t xml:space="preserve">全班平均</t>
  </si>
  <si>
    <t xml:space="preserve">等第分佈統計</t>
  </si>
  <si>
    <r>
      <rPr>
        <sz val="9"/>
        <color rgb="FF2C2C2A"/>
        <rFont val="Noto Sans CJK SC"/>
        <family val="2"/>
      </rPr>
      <t xml:space="preserve">等第 </t>
    </r>
    <r>
      <rPr>
        <sz val="9"/>
        <color rgb="FF2C2C2A"/>
        <rFont val="Arial"/>
        <family val="0"/>
        <charset val="1"/>
      </rPr>
      <t xml:space="preserve">A+</t>
    </r>
  </si>
  <si>
    <t xml:space="preserve">人</t>
  </si>
  <si>
    <r>
      <rPr>
        <sz val="9"/>
        <color rgb="FF2C2C2A"/>
        <rFont val="Noto Sans CJK SC"/>
        <family val="2"/>
      </rPr>
      <t xml:space="preserve">等第 </t>
    </r>
    <r>
      <rPr>
        <sz val="9"/>
        <color rgb="FF2C2C2A"/>
        <rFont val="Arial"/>
        <family val="0"/>
        <charset val="1"/>
      </rPr>
      <t xml:space="preserve">A</t>
    </r>
  </si>
  <si>
    <r>
      <rPr>
        <sz val="9"/>
        <color rgb="FF2C2C2A"/>
        <rFont val="Noto Sans CJK SC"/>
        <family val="2"/>
      </rPr>
      <t xml:space="preserve">等第 </t>
    </r>
    <r>
      <rPr>
        <sz val="9"/>
        <color rgb="FF2C2C2A"/>
        <rFont val="Arial"/>
        <family val="0"/>
        <charset val="1"/>
      </rPr>
      <t xml:space="preserve">B</t>
    </r>
  </si>
  <si>
    <r>
      <rPr>
        <sz val="9"/>
        <color rgb="FF2C2C2A"/>
        <rFont val="Noto Sans CJK SC"/>
        <family val="2"/>
      </rPr>
      <t xml:space="preserve">等第 </t>
    </r>
    <r>
      <rPr>
        <sz val="9"/>
        <color rgb="FF2C2C2A"/>
        <rFont val="Arial"/>
        <family val="0"/>
        <charset val="1"/>
      </rPr>
      <t xml:space="preserve">C</t>
    </r>
  </si>
  <si>
    <r>
      <rPr>
        <sz val="9"/>
        <color rgb="FF2C2C2A"/>
        <rFont val="Noto Sans CJK SC"/>
        <family val="2"/>
      </rPr>
      <t xml:space="preserve">等第 </t>
    </r>
    <r>
      <rPr>
        <sz val="9"/>
        <color rgb="FF2C2C2A"/>
        <rFont val="Arial"/>
        <family val="0"/>
        <charset val="1"/>
      </rPr>
      <t xml:space="preserve">D</t>
    </r>
  </si>
  <si>
    <r>
      <rPr>
        <i val="true"/>
        <sz val="9"/>
        <color rgb="FF9A9590"/>
        <rFont val="Noto Sans CJK SC"/>
        <family val="2"/>
      </rPr>
      <t xml:space="preserve">使用說明：在「整體印象分」欄位填入 </t>
    </r>
    <r>
      <rPr>
        <i val="true"/>
        <sz val="9"/>
        <color rgb="FF9A9590"/>
        <rFont val="Arial"/>
        <family val="0"/>
        <charset val="1"/>
      </rPr>
      <t xml:space="preserve">1–5 </t>
    </r>
    <r>
      <rPr>
        <i val="true"/>
        <sz val="9"/>
        <color rgb="FF9A9590"/>
        <rFont val="Noto Sans CJK SC"/>
        <family val="2"/>
      </rPr>
      <t xml:space="preserve">的分數，等第和統計會自動計算。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</si>
</sst>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3"/>
      <color rgb="FFFFFFFF"/>
      <name val="Noto Sans CJK SC"/>
      <family val="2"/>
    </font>
    <font>
      <sz val="9"/>
      <color rgb="FF9A9590"/>
      <name val="Arial"/>
      <family val="0"/>
      <charset val="1"/>
    </font>
    <font>
      <sz val="9"/>
      <color rgb="FF9A9590"/>
      <name val="Noto Sans CJK SC"/>
      <family val="2"/>
    </font>
    <font>
      <b val="true"/>
      <sz val="9"/>
      <color rgb="FFFFFFFF"/>
      <name val="Noto Sans CJK SC"/>
      <family val="2"/>
    </font>
    <font>
      <b val="true"/>
      <sz val="9"/>
      <color rgb="FFFFFFFF"/>
      <name val="Arial"/>
      <family val="0"/>
      <charset val="1"/>
    </font>
    <font>
      <b val="true"/>
      <sz val="11"/>
      <color rgb="FF6B4C35"/>
      <name val="Arial"/>
      <family val="0"/>
      <charset val="1"/>
    </font>
    <font>
      <sz val="9"/>
      <color rgb="FF2C2C2A"/>
      <name val="Arial"/>
      <family val="0"/>
      <charset val="1"/>
    </font>
    <font>
      <i val="true"/>
      <sz val="9"/>
      <color rgb="FF9A9590"/>
      <name val="Noto Sans CJK SC"/>
      <family val="2"/>
    </font>
    <font>
      <i val="true"/>
      <sz val="9"/>
      <color rgb="FF9A9590"/>
      <name val="Arial"/>
      <family val="0"/>
      <charset val="1"/>
    </font>
    <font>
      <sz val="10"/>
      <color rgb="FF9A9590"/>
      <name val="Arial"/>
      <family val="0"/>
      <charset val="1"/>
    </font>
    <font>
      <b val="true"/>
      <sz val="10"/>
      <color rgb="FF6B4C35"/>
      <name val="Arial"/>
      <family val="0"/>
      <charset val="1"/>
    </font>
    <font>
      <b val="true"/>
      <sz val="10"/>
      <color rgb="FFFFFFFF"/>
      <name val="Noto Sans CJK SC"/>
      <family val="2"/>
    </font>
    <font>
      <sz val="9"/>
      <color rgb="FF2C2C2A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6B4C35"/>
        <bgColor rgb="FF993366"/>
      </patternFill>
    </fill>
    <fill>
      <patternFill patternType="solid">
        <fgColor rgb="FFF4F1EC"/>
        <bgColor rgb="FFEDE9E0"/>
      </patternFill>
    </fill>
    <fill>
      <patternFill patternType="solid">
        <fgColor rgb="FF2C2C2A"/>
        <bgColor rgb="FF333300"/>
      </patternFill>
    </fill>
    <fill>
      <patternFill patternType="solid">
        <fgColor rgb="FFFFFFFF"/>
        <bgColor rgb="FFF4F1EC"/>
      </patternFill>
    </fill>
    <fill>
      <patternFill patternType="solid">
        <fgColor rgb="FFEDE9E0"/>
        <bgColor rgb="FFF4F1E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8D4CC"/>
      </left>
      <right style="thin">
        <color rgb="FFD8D4CC"/>
      </right>
      <top style="thin">
        <color rgb="FFD8D4CC"/>
      </top>
      <bottom style="thin">
        <color rgb="FFD8D4CC"/>
      </bottom>
      <diagonal/>
    </border>
    <border diagonalUp="false" diagonalDown="false">
      <left style="thin">
        <color rgb="FFD8D4CC"/>
      </left>
      <right/>
      <top style="thin">
        <color rgb="FFD8D4CC"/>
      </top>
      <bottom style="thin">
        <color rgb="FFD8D4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B4C35"/>
      <rgbColor rgb="FFF4F1EC"/>
      <rgbColor rgb="FFCCFFFF"/>
      <rgbColor rgb="FF660066"/>
      <rgbColor rgb="FFFF8080"/>
      <rgbColor rgb="FF0066CC"/>
      <rgbColor rgb="FFD8D4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DE9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590"/>
      <rgbColor rgb="FF003366"/>
      <rgbColor rgb="FF339966"/>
      <rgbColor rgb="FF003300"/>
      <rgbColor rgb="FF333300"/>
      <rgbColor rgb="FF993300"/>
      <rgbColor rgb="FF993366"/>
      <rgbColor rgb="FF333399"/>
      <rgbColor rgb="FF2C2C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.13"/>
    <col collapsed="false" customWidth="true" hidden="false" outlineLevel="0" max="6" min="3" style="0" width="8.75"/>
    <col collapsed="false" customWidth="true" hidden="false" outlineLevel="0" max="7" min="7" style="0" width="12.5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A4" s="3" t="s">
        <v>2</v>
      </c>
      <c r="B4" s="3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3" t="s">
        <v>8</v>
      </c>
    </row>
    <row r="5" customFormat="false" ht="54.75" hidden="false" customHeight="true" outlineLevel="0" collapsed="false">
      <c r="A5" s="5" t="n">
        <v>5</v>
      </c>
      <c r="B5" s="5" t="s">
        <v>9</v>
      </c>
      <c r="C5" s="6" t="s">
        <v>10</v>
      </c>
      <c r="D5" s="6" t="s">
        <v>11</v>
      </c>
      <c r="E5" s="6" t="s">
        <v>12</v>
      </c>
      <c r="F5" s="6" t="s">
        <v>13</v>
      </c>
      <c r="G5" s="6" t="s">
        <v>14</v>
      </c>
    </row>
    <row r="6" customFormat="false" ht="54.75" hidden="false" customHeight="true" outlineLevel="0" collapsed="false">
      <c r="A6" s="7" t="n">
        <v>4</v>
      </c>
      <c r="B6" s="7" t="s">
        <v>15</v>
      </c>
      <c r="C6" s="8" t="s">
        <v>16</v>
      </c>
      <c r="D6" s="8" t="s">
        <v>17</v>
      </c>
      <c r="E6" s="8" t="s">
        <v>18</v>
      </c>
      <c r="F6" s="8" t="s">
        <v>19</v>
      </c>
      <c r="G6" s="8" t="s">
        <v>20</v>
      </c>
    </row>
    <row r="7" customFormat="false" ht="54.75" hidden="false" customHeight="true" outlineLevel="0" collapsed="false">
      <c r="A7" s="5" t="n">
        <v>3</v>
      </c>
      <c r="B7" s="5" t="s">
        <v>21</v>
      </c>
      <c r="C7" s="6" t="s">
        <v>22</v>
      </c>
      <c r="D7" s="6" t="s">
        <v>23</v>
      </c>
      <c r="E7" s="6" t="s">
        <v>24</v>
      </c>
      <c r="F7" s="6" t="s">
        <v>25</v>
      </c>
      <c r="G7" s="6" t="s">
        <v>26</v>
      </c>
    </row>
    <row r="8" customFormat="false" ht="54.75" hidden="false" customHeight="true" outlineLevel="0" collapsed="false">
      <c r="A8" s="7" t="n">
        <v>2</v>
      </c>
      <c r="B8" s="7" t="s">
        <v>27</v>
      </c>
      <c r="C8" s="8" t="s">
        <v>28</v>
      </c>
      <c r="D8" s="8" t="s">
        <v>29</v>
      </c>
      <c r="E8" s="8" t="s">
        <v>30</v>
      </c>
      <c r="F8" s="8" t="s">
        <v>31</v>
      </c>
      <c r="G8" s="8" t="s">
        <v>32</v>
      </c>
    </row>
    <row r="9" customFormat="false" ht="54.75" hidden="false" customHeight="true" outlineLevel="0" collapsed="false">
      <c r="A9" s="5" t="n">
        <v>1</v>
      </c>
      <c r="B9" s="5" t="s">
        <v>33</v>
      </c>
      <c r="C9" s="6" t="s">
        <v>34</v>
      </c>
      <c r="D9" s="6" t="s">
        <v>35</v>
      </c>
      <c r="E9" s="6" t="s">
        <v>36</v>
      </c>
      <c r="F9" s="6" t="s">
        <v>37</v>
      </c>
      <c r="G9" s="6" t="s">
        <v>38</v>
      </c>
    </row>
    <row r="11" customFormat="false" ht="18" hidden="false" customHeight="true" outlineLevel="0" collapsed="false">
      <c r="A11" s="9" t="s">
        <v>39</v>
      </c>
      <c r="B11" s="9"/>
      <c r="C11" s="9"/>
      <c r="D11" s="9"/>
      <c r="E11" s="9"/>
      <c r="F11" s="9"/>
      <c r="G11" s="9"/>
      <c r="H11" s="9"/>
    </row>
  </sheetData>
  <mergeCells count="3">
    <mergeCell ref="A1:H1"/>
    <mergeCell ref="A2:H2"/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8"/>
  </cols>
  <sheetData>
    <row r="1" customFormat="false" ht="31.5" hidden="false" customHeight="true" outlineLevel="0" collapsed="false">
      <c r="A1" s="1" t="s">
        <v>40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10" t="s">
        <v>41</v>
      </c>
      <c r="B2" s="10"/>
      <c r="C2" s="10"/>
      <c r="D2" s="10"/>
      <c r="E2" s="10"/>
      <c r="F2" s="10"/>
    </row>
    <row r="4" customFormat="false" ht="21.75" hidden="false" customHeight="true" outlineLevel="0" collapsed="false">
      <c r="A4" s="3" t="s">
        <v>42</v>
      </c>
      <c r="B4" s="3" t="s">
        <v>43</v>
      </c>
      <c r="C4" s="3" t="s">
        <v>44</v>
      </c>
      <c r="D4" s="3" t="s">
        <v>3</v>
      </c>
      <c r="E4" s="3" t="s">
        <v>45</v>
      </c>
    </row>
    <row r="5" customFormat="false" ht="18" hidden="false" customHeight="true" outlineLevel="0" collapsed="false">
      <c r="A5" s="11" t="n">
        <v>1</v>
      </c>
      <c r="B5" s="12"/>
      <c r="C5" s="13"/>
      <c r="D5" s="14" t="str">
        <f aca="false">IF(C5="","",IF(C5&gt;=5,"A+",IF(C5=4,"A",IF(C5=3,"B",IF(C5=2,"C","D")))))</f>
        <v/>
      </c>
      <c r="E5" s="12"/>
    </row>
    <row r="6" customFormat="false" ht="18" hidden="false" customHeight="true" outlineLevel="0" collapsed="false">
      <c r="A6" s="15" t="n">
        <v>2</v>
      </c>
      <c r="B6" s="16"/>
      <c r="C6" s="17"/>
      <c r="D6" s="18" t="str">
        <f aca="false">IF(C6="","",IF(C6&gt;=5,"A+",IF(C6=4,"A",IF(C6=3,"B",IF(C6=2,"C","D")))))</f>
        <v/>
      </c>
      <c r="E6" s="16"/>
    </row>
    <row r="7" customFormat="false" ht="18" hidden="false" customHeight="true" outlineLevel="0" collapsed="false">
      <c r="A7" s="11" t="n">
        <v>3</v>
      </c>
      <c r="B7" s="12"/>
      <c r="C7" s="13"/>
      <c r="D7" s="14" t="str">
        <f aca="false">IF(C7="","",IF(C7&gt;=5,"A+",IF(C7=4,"A",IF(C7=3,"B",IF(C7=2,"C","D")))))</f>
        <v/>
      </c>
      <c r="E7" s="12"/>
    </row>
    <row r="8" customFormat="false" ht="18" hidden="false" customHeight="true" outlineLevel="0" collapsed="false">
      <c r="A8" s="15" t="n">
        <v>4</v>
      </c>
      <c r="B8" s="16"/>
      <c r="C8" s="17"/>
      <c r="D8" s="18" t="str">
        <f aca="false">IF(C8="","",IF(C8&gt;=5,"A+",IF(C8=4,"A",IF(C8=3,"B",IF(C8=2,"C","D")))))</f>
        <v/>
      </c>
      <c r="E8" s="16"/>
    </row>
    <row r="9" customFormat="false" ht="18" hidden="false" customHeight="true" outlineLevel="0" collapsed="false">
      <c r="A9" s="11" t="n">
        <v>5</v>
      </c>
      <c r="B9" s="12"/>
      <c r="C9" s="13"/>
      <c r="D9" s="14" t="str">
        <f aca="false">IF(C9="","",IF(C9&gt;=5,"A+",IF(C9=4,"A",IF(C9=3,"B",IF(C9=2,"C","D")))))</f>
        <v/>
      </c>
      <c r="E9" s="12"/>
    </row>
    <row r="10" customFormat="false" ht="18" hidden="false" customHeight="true" outlineLevel="0" collapsed="false">
      <c r="A10" s="15" t="n">
        <v>6</v>
      </c>
      <c r="B10" s="16"/>
      <c r="C10" s="17"/>
      <c r="D10" s="18" t="str">
        <f aca="false">IF(C10="","",IF(C10&gt;=5,"A+",IF(C10=4,"A",IF(C10=3,"B",IF(C10=2,"C","D")))))</f>
        <v/>
      </c>
      <c r="E10" s="16"/>
    </row>
    <row r="11" customFormat="false" ht="18" hidden="false" customHeight="true" outlineLevel="0" collapsed="false">
      <c r="A11" s="11" t="n">
        <v>7</v>
      </c>
      <c r="B11" s="12"/>
      <c r="C11" s="13"/>
      <c r="D11" s="14" t="str">
        <f aca="false">IF(C11="","",IF(C11&gt;=5,"A+",IF(C11=4,"A",IF(C11=3,"B",IF(C11=2,"C","D")))))</f>
        <v/>
      </c>
      <c r="E11" s="12"/>
    </row>
    <row r="12" customFormat="false" ht="18" hidden="false" customHeight="true" outlineLevel="0" collapsed="false">
      <c r="A12" s="15" t="n">
        <v>8</v>
      </c>
      <c r="B12" s="16"/>
      <c r="C12" s="17"/>
      <c r="D12" s="18" t="str">
        <f aca="false">IF(C12="","",IF(C12&gt;=5,"A+",IF(C12=4,"A",IF(C12=3,"B",IF(C12=2,"C","D")))))</f>
        <v/>
      </c>
      <c r="E12" s="16"/>
    </row>
    <row r="13" customFormat="false" ht="18" hidden="false" customHeight="true" outlineLevel="0" collapsed="false">
      <c r="A13" s="11" t="n">
        <v>9</v>
      </c>
      <c r="B13" s="12"/>
      <c r="C13" s="13"/>
      <c r="D13" s="14" t="str">
        <f aca="false">IF(C13="","",IF(C13&gt;=5,"A+",IF(C13=4,"A",IF(C13=3,"B",IF(C13=2,"C","D")))))</f>
        <v/>
      </c>
      <c r="E13" s="12"/>
    </row>
    <row r="14" customFormat="false" ht="18" hidden="false" customHeight="true" outlineLevel="0" collapsed="false">
      <c r="A14" s="15" t="n">
        <v>10</v>
      </c>
      <c r="B14" s="16"/>
      <c r="C14" s="17"/>
      <c r="D14" s="18" t="str">
        <f aca="false">IF(C14="","",IF(C14&gt;=5,"A+",IF(C14=4,"A",IF(C14=3,"B",IF(C14=2,"C","D")))))</f>
        <v/>
      </c>
      <c r="E14" s="16"/>
    </row>
    <row r="15" customFormat="false" ht="18" hidden="false" customHeight="true" outlineLevel="0" collapsed="false">
      <c r="A15" s="11" t="n">
        <v>11</v>
      </c>
      <c r="B15" s="12"/>
      <c r="C15" s="13"/>
      <c r="D15" s="14" t="str">
        <f aca="false">IF(C15="","",IF(C15&gt;=5,"A+",IF(C15=4,"A",IF(C15=3,"B",IF(C15=2,"C","D")))))</f>
        <v/>
      </c>
      <c r="E15" s="12"/>
    </row>
    <row r="16" customFormat="false" ht="18" hidden="false" customHeight="true" outlineLevel="0" collapsed="false">
      <c r="A16" s="15" t="n">
        <v>12</v>
      </c>
      <c r="B16" s="16"/>
      <c r="C16" s="17"/>
      <c r="D16" s="18" t="str">
        <f aca="false">IF(C16="","",IF(C16&gt;=5,"A+",IF(C16=4,"A",IF(C16=3,"B",IF(C16=2,"C","D")))))</f>
        <v/>
      </c>
      <c r="E16" s="16"/>
    </row>
    <row r="17" customFormat="false" ht="18" hidden="false" customHeight="true" outlineLevel="0" collapsed="false">
      <c r="A17" s="11" t="n">
        <v>13</v>
      </c>
      <c r="B17" s="12"/>
      <c r="C17" s="13"/>
      <c r="D17" s="14" t="str">
        <f aca="false">IF(C17="","",IF(C17&gt;=5,"A+",IF(C17=4,"A",IF(C17=3,"B",IF(C17=2,"C","D")))))</f>
        <v/>
      </c>
      <c r="E17" s="12"/>
    </row>
    <row r="18" customFormat="false" ht="18" hidden="false" customHeight="true" outlineLevel="0" collapsed="false">
      <c r="A18" s="15" t="n">
        <v>14</v>
      </c>
      <c r="B18" s="16"/>
      <c r="C18" s="17"/>
      <c r="D18" s="18" t="str">
        <f aca="false">IF(C18="","",IF(C18&gt;=5,"A+",IF(C18=4,"A",IF(C18=3,"B",IF(C18=2,"C","D")))))</f>
        <v/>
      </c>
      <c r="E18" s="16"/>
    </row>
    <row r="19" customFormat="false" ht="18" hidden="false" customHeight="true" outlineLevel="0" collapsed="false">
      <c r="A19" s="11" t="n">
        <v>15</v>
      </c>
      <c r="B19" s="12"/>
      <c r="C19" s="13"/>
      <c r="D19" s="14" t="str">
        <f aca="false">IF(C19="","",IF(C19&gt;=5,"A+",IF(C19=4,"A",IF(C19=3,"B",IF(C19=2,"C","D")))))</f>
        <v/>
      </c>
      <c r="E19" s="12"/>
    </row>
    <row r="20" customFormat="false" ht="18" hidden="false" customHeight="true" outlineLevel="0" collapsed="false">
      <c r="A20" s="15" t="n">
        <v>16</v>
      </c>
      <c r="B20" s="16"/>
      <c r="C20" s="17"/>
      <c r="D20" s="18" t="str">
        <f aca="false">IF(C20="","",IF(C20&gt;=5,"A+",IF(C20=4,"A",IF(C20=3,"B",IF(C20=2,"C","D")))))</f>
        <v/>
      </c>
      <c r="E20" s="16"/>
    </row>
    <row r="21" customFormat="false" ht="18" hidden="false" customHeight="true" outlineLevel="0" collapsed="false">
      <c r="A21" s="11" t="n">
        <v>17</v>
      </c>
      <c r="B21" s="12"/>
      <c r="C21" s="13"/>
      <c r="D21" s="14" t="str">
        <f aca="false">IF(C21="","",IF(C21&gt;=5,"A+",IF(C21=4,"A",IF(C21=3,"B",IF(C21=2,"C","D")))))</f>
        <v/>
      </c>
      <c r="E21" s="12"/>
    </row>
    <row r="22" customFormat="false" ht="18" hidden="false" customHeight="true" outlineLevel="0" collapsed="false">
      <c r="A22" s="15" t="n">
        <v>18</v>
      </c>
      <c r="B22" s="16"/>
      <c r="C22" s="17"/>
      <c r="D22" s="18" t="str">
        <f aca="false">IF(C22="","",IF(C22&gt;=5,"A+",IF(C22=4,"A",IF(C22=3,"B",IF(C22=2,"C","D")))))</f>
        <v/>
      </c>
      <c r="E22" s="16"/>
    </row>
    <row r="23" customFormat="false" ht="18" hidden="false" customHeight="true" outlineLevel="0" collapsed="false">
      <c r="A23" s="11" t="n">
        <v>19</v>
      </c>
      <c r="B23" s="12"/>
      <c r="C23" s="13"/>
      <c r="D23" s="14" t="str">
        <f aca="false">IF(C23="","",IF(C23&gt;=5,"A+",IF(C23=4,"A",IF(C23=3,"B",IF(C23=2,"C","D")))))</f>
        <v/>
      </c>
      <c r="E23" s="12"/>
    </row>
    <row r="24" customFormat="false" ht="18" hidden="false" customHeight="true" outlineLevel="0" collapsed="false">
      <c r="A24" s="15" t="n">
        <v>20</v>
      </c>
      <c r="B24" s="16"/>
      <c r="C24" s="17"/>
      <c r="D24" s="18" t="str">
        <f aca="false">IF(C24="","",IF(C24&gt;=5,"A+",IF(C24=4,"A",IF(C24=3,"B",IF(C24=2,"C","D")))))</f>
        <v/>
      </c>
      <c r="E24" s="16"/>
    </row>
    <row r="25" customFormat="false" ht="18" hidden="false" customHeight="true" outlineLevel="0" collapsed="false">
      <c r="A25" s="11" t="n">
        <v>21</v>
      </c>
      <c r="B25" s="12"/>
      <c r="C25" s="13"/>
      <c r="D25" s="14" t="str">
        <f aca="false">IF(C25="","",IF(C25&gt;=5,"A+",IF(C25=4,"A",IF(C25=3,"B",IF(C25=2,"C","D")))))</f>
        <v/>
      </c>
      <c r="E25" s="12"/>
    </row>
    <row r="26" customFormat="false" ht="18" hidden="false" customHeight="true" outlineLevel="0" collapsed="false">
      <c r="A26" s="15" t="n">
        <v>22</v>
      </c>
      <c r="B26" s="16"/>
      <c r="C26" s="17"/>
      <c r="D26" s="18" t="str">
        <f aca="false">IF(C26="","",IF(C26&gt;=5,"A+",IF(C26=4,"A",IF(C26=3,"B",IF(C26=2,"C","D")))))</f>
        <v/>
      </c>
      <c r="E26" s="16"/>
    </row>
    <row r="27" customFormat="false" ht="18" hidden="false" customHeight="true" outlineLevel="0" collapsed="false">
      <c r="A27" s="11" t="n">
        <v>23</v>
      </c>
      <c r="B27" s="12"/>
      <c r="C27" s="13"/>
      <c r="D27" s="14" t="str">
        <f aca="false">IF(C27="","",IF(C27&gt;=5,"A+",IF(C27=4,"A",IF(C27=3,"B",IF(C27=2,"C","D")))))</f>
        <v/>
      </c>
      <c r="E27" s="12"/>
    </row>
    <row r="28" customFormat="false" ht="18" hidden="false" customHeight="true" outlineLevel="0" collapsed="false">
      <c r="A28" s="15" t="n">
        <v>24</v>
      </c>
      <c r="B28" s="16"/>
      <c r="C28" s="17"/>
      <c r="D28" s="18" t="str">
        <f aca="false">IF(C28="","",IF(C28&gt;=5,"A+",IF(C28=4,"A",IF(C28=3,"B",IF(C28=2,"C","D")))))</f>
        <v/>
      </c>
      <c r="E28" s="16"/>
    </row>
    <row r="29" customFormat="false" ht="18" hidden="false" customHeight="true" outlineLevel="0" collapsed="false">
      <c r="A29" s="11" t="n">
        <v>25</v>
      </c>
      <c r="B29" s="12"/>
      <c r="C29" s="13"/>
      <c r="D29" s="14" t="str">
        <f aca="false">IF(C29="","",IF(C29&gt;=5,"A+",IF(C29=4,"A",IF(C29=3,"B",IF(C29=2,"C","D")))))</f>
        <v/>
      </c>
      <c r="E29" s="12"/>
    </row>
    <row r="30" customFormat="false" ht="18" hidden="false" customHeight="true" outlineLevel="0" collapsed="false">
      <c r="A30" s="15" t="n">
        <v>26</v>
      </c>
      <c r="B30" s="16"/>
      <c r="C30" s="17"/>
      <c r="D30" s="18" t="str">
        <f aca="false">IF(C30="","",IF(C30&gt;=5,"A+",IF(C30=4,"A",IF(C30=3,"B",IF(C30=2,"C","D")))))</f>
        <v/>
      </c>
      <c r="E30" s="16"/>
    </row>
    <row r="31" customFormat="false" ht="18" hidden="false" customHeight="true" outlineLevel="0" collapsed="false">
      <c r="A31" s="11" t="n">
        <v>27</v>
      </c>
      <c r="B31" s="12"/>
      <c r="C31" s="13"/>
      <c r="D31" s="14" t="str">
        <f aca="false">IF(C31="","",IF(C31&gt;=5,"A+",IF(C31=4,"A",IF(C31=3,"B",IF(C31=2,"C","D")))))</f>
        <v/>
      </c>
      <c r="E31" s="12"/>
    </row>
    <row r="32" customFormat="false" ht="18" hidden="false" customHeight="true" outlineLevel="0" collapsed="false">
      <c r="A32" s="15" t="n">
        <v>28</v>
      </c>
      <c r="B32" s="16"/>
      <c r="C32" s="17"/>
      <c r="D32" s="18" t="str">
        <f aca="false">IF(C32="","",IF(C32&gt;=5,"A+",IF(C32=4,"A",IF(C32=3,"B",IF(C32=2,"C","D")))))</f>
        <v/>
      </c>
      <c r="E32" s="16"/>
    </row>
    <row r="33" customFormat="false" ht="18" hidden="false" customHeight="true" outlineLevel="0" collapsed="false">
      <c r="A33" s="11" t="n">
        <v>29</v>
      </c>
      <c r="B33" s="12"/>
      <c r="C33" s="13"/>
      <c r="D33" s="14" t="str">
        <f aca="false">IF(C33="","",IF(C33&gt;=5,"A+",IF(C33=4,"A",IF(C33=3,"B",IF(C33=2,"C","D")))))</f>
        <v/>
      </c>
      <c r="E33" s="12"/>
    </row>
    <row r="34" customFormat="false" ht="18" hidden="false" customHeight="true" outlineLevel="0" collapsed="false">
      <c r="A34" s="15" t="n">
        <v>30</v>
      </c>
      <c r="B34" s="16"/>
      <c r="C34" s="17"/>
      <c r="D34" s="18" t="str">
        <f aca="false">IF(C34="","",IF(C34&gt;=5,"A+",IF(C34=4,"A",IF(C34=3,"B",IF(C34=2,"C","D")))))</f>
        <v/>
      </c>
      <c r="E34" s="16"/>
    </row>
    <row r="36" customFormat="false" ht="21.75" hidden="false" customHeight="true" outlineLevel="0" collapsed="false">
      <c r="A36" s="19" t="s">
        <v>46</v>
      </c>
      <c r="B36" s="19"/>
      <c r="C36" s="20" t="str">
        <f aca="false">IFERROR(AVERAGEIF(C5:C34,"&gt;0"),"")</f>
        <v/>
      </c>
      <c r="D36" s="16"/>
      <c r="E36" s="16"/>
    </row>
    <row r="38" customFormat="false" ht="18" hidden="false" customHeight="true" outlineLevel="0" collapsed="false">
      <c r="A38" s="21" t="s">
        <v>47</v>
      </c>
      <c r="B38" s="21"/>
      <c r="C38" s="21"/>
      <c r="D38" s="21"/>
      <c r="E38" s="21"/>
    </row>
    <row r="39" customFormat="false" ht="15.75" hidden="false" customHeight="true" outlineLevel="0" collapsed="false">
      <c r="A39" s="22" t="s">
        <v>48</v>
      </c>
      <c r="B39" s="18" t="n">
        <f aca="false">COUNTIF(D5:D34,"A+")</f>
        <v>0</v>
      </c>
      <c r="C39" s="23" t="s">
        <v>49</v>
      </c>
    </row>
    <row r="40" customFormat="false" ht="15.75" hidden="false" customHeight="true" outlineLevel="0" collapsed="false">
      <c r="A40" s="22" t="s">
        <v>50</v>
      </c>
      <c r="B40" s="18" t="n">
        <f aca="false">COUNTIF(D5:D34,"A")</f>
        <v>0</v>
      </c>
      <c r="C40" s="23" t="s">
        <v>49</v>
      </c>
    </row>
    <row r="41" customFormat="false" ht="15.75" hidden="false" customHeight="true" outlineLevel="0" collapsed="false">
      <c r="A41" s="22" t="s">
        <v>51</v>
      </c>
      <c r="B41" s="18" t="n">
        <f aca="false">COUNTIF(D5:D34,"B")</f>
        <v>0</v>
      </c>
      <c r="C41" s="23" t="s">
        <v>49</v>
      </c>
    </row>
    <row r="42" customFormat="false" ht="15.75" hidden="false" customHeight="true" outlineLevel="0" collapsed="false">
      <c r="A42" s="22" t="s">
        <v>52</v>
      </c>
      <c r="B42" s="18" t="n">
        <f aca="false">COUNTIF(D5:D34,"C")</f>
        <v>0</v>
      </c>
      <c r="C42" s="23" t="s">
        <v>49</v>
      </c>
    </row>
    <row r="43" customFormat="false" ht="15.75" hidden="false" customHeight="true" outlineLevel="0" collapsed="false">
      <c r="A43" s="22" t="s">
        <v>53</v>
      </c>
      <c r="B43" s="18" t="n">
        <f aca="false">COUNTIF(D5:D34,"D")</f>
        <v>0</v>
      </c>
      <c r="C43" s="23" t="s">
        <v>49</v>
      </c>
    </row>
    <row r="45" customFormat="false" ht="15" hidden="false" customHeight="true" outlineLevel="0" collapsed="false">
      <c r="A45" s="9" t="s">
        <v>54</v>
      </c>
      <c r="B45" s="9"/>
      <c r="C45" s="9"/>
      <c r="D45" s="9"/>
      <c r="E45" s="9"/>
    </row>
  </sheetData>
  <mergeCells count="5">
    <mergeCell ref="A1:F1"/>
    <mergeCell ref="A2:F2"/>
    <mergeCell ref="A36:B36"/>
    <mergeCell ref="A38:E38"/>
    <mergeCell ref="A45:E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2026-05-13T10:42:43Z</dcterms:created>
  <dc:creator>openpyxl</dc:creator>
  <dc:description/>
  <dc:language>en-US</dc:language>
  <cp:lastModifiedBy/>
  <dcterms:modified xsi:type="dcterms:W3CDTF">2026-05-13T10:42:43Z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