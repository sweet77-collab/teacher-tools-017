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量規準 Rubric" sheetId="1" state="visible" r:id="rId1"/>
    <sheet xmlns:r="http://schemas.openxmlformats.org/officeDocument/2006/relationships" name="班級計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A9590"/>
      <sz val="9"/>
    </font>
    <font>
      <name val="Arial"/>
      <b val="1"/>
      <color rgb="00FFFFFF"/>
      <sz val="10"/>
    </font>
    <font>
      <name val="Arial"/>
      <b val="1"/>
      <color rgb="006B4C35"/>
      <sz val="13"/>
    </font>
    <font>
      <name val="Arial"/>
      <color rgb="002C2C2A"/>
      <sz val="10"/>
    </font>
    <font>
      <name val="Arial"/>
      <i val="1"/>
      <color rgb="009A9590"/>
      <sz val="9"/>
    </font>
    <font>
      <name val="Arial"/>
      <color rgb="009A9590"/>
      <sz val="10"/>
    </font>
    <font>
      <name val="Arial"/>
      <b val="1"/>
      <color rgb="006B4C35"/>
      <sz val="11"/>
    </font>
    <font>
      <name val="Arial"/>
      <b val="1"/>
      <color rgb="00FFFFFF"/>
      <sz val="11"/>
    </font>
    <font>
      <name val="Arial"/>
      <b val="1"/>
      <color rgb="006B4C35"/>
      <sz val="12"/>
    </font>
    <font>
      <name val="Arial"/>
      <color rgb="002C2C2A"/>
      <sz val="9"/>
    </font>
  </fonts>
  <fills count="7">
    <fill>
      <patternFill/>
    </fill>
    <fill>
      <patternFill patternType="gray125"/>
    </fill>
    <fill>
      <patternFill patternType="solid">
        <fgColor rgb="006B4C35"/>
      </patternFill>
    </fill>
    <fill>
      <patternFill patternType="solid">
        <fgColor rgb="00F4F1EC"/>
      </patternFill>
    </fill>
    <fill>
      <patternFill patternType="solid">
        <fgColor rgb="002C2C2A"/>
      </patternFill>
    </fill>
    <fill>
      <patternFill patternType="solid">
        <fgColor rgb="00FFFFFF"/>
      </patternFill>
    </fill>
    <fill>
      <patternFill patternType="solid">
        <fgColor rgb="00EDE9E0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38" customWidth="1" min="4" max="4"/>
    <col width="38" customWidth="1" min="5" max="5"/>
    <col width="38" customWidth="1" min="6" max="6"/>
    <col width="45" customWidth="1" min="7" max="7"/>
  </cols>
  <sheetData>
    <row r="1" ht="36" customHeight="1">
      <c r="A1" s="1" t="inlineStr">
        <is>
          <t>L7 TED Talks — My 1-minute TED Talk 口說活動評量規準</t>
        </is>
      </c>
    </row>
    <row r="2" ht="18" customHeight="1">
      <c r="A2" s="2" t="inlineStr">
        <is>
          <t>114學年度第2學期　·　全英社群研習　·　林怡青老師</t>
        </is>
      </c>
    </row>
    <row r="3" ht="8" customHeight="1"/>
    <row r="4" ht="36" customHeight="1">
      <c r="A4" s="3" t="inlineStr">
        <is>
          <t>分數</t>
        </is>
      </c>
      <c r="B4" s="3" t="inlineStr">
        <is>
          <t>等第</t>
        </is>
      </c>
      <c r="C4" s="3" t="inlineStr">
        <is>
          <t>Content
內容</t>
        </is>
      </c>
      <c r="D4" s="3" t="inlineStr">
        <is>
          <t>Language
語言</t>
        </is>
      </c>
      <c r="E4" s="3" t="inlineStr">
        <is>
          <t>Delivery
表達</t>
        </is>
      </c>
      <c r="F4" s="3" t="inlineStr">
        <is>
          <t>Structure
結構</t>
        </is>
      </c>
      <c r="G4" s="3" t="inlineStr">
        <is>
          <t>整體印象分說明</t>
        </is>
      </c>
    </row>
    <row r="5" ht="72" customHeight="1">
      <c r="A5" s="4" t="n">
        <v>5</v>
      </c>
      <c r="B5" s="4" t="inlineStr">
        <is>
          <t>A+</t>
        </is>
      </c>
      <c r="C5" s="5" t="inlineStr">
        <is>
          <t>Presents a clear, original idea with a powerful, memorable message. Uses a strong key phrase that connects to the topic.</t>
        </is>
      </c>
      <c r="D5" s="5" t="inlineStr">
        <is>
          <t>Uses accurate, varied vocabulary from the lesson. Minimal grammatical errors. Speech sounds natural and fluent.</t>
        </is>
      </c>
      <c r="E5" s="5" t="inlineStr">
        <is>
          <t>Confident delivery with strong eye contact. Appropriate pace and volume. Engages the audience effectively.</t>
        </is>
      </c>
      <c r="F5" s="5" t="inlineStr">
        <is>
          <t>Clear opening statement, focused body, and strong closing. Well-organized and easy to follow.</t>
        </is>
      </c>
      <c r="G5" s="5" t="inlineStr">
        <is>
          <t>Outstanding — exceeds expectations in all areas. Ready to present to a real audience.</t>
        </is>
      </c>
    </row>
    <row r="6" ht="72" customHeight="1">
      <c r="A6" s="6" t="n">
        <v>4</v>
      </c>
      <c r="B6" s="6" t="inlineStr">
        <is>
          <t>A</t>
        </is>
      </c>
      <c r="C6" s="7" t="inlineStr">
        <is>
          <t>Idea is clear and focused. Message is understandable and relevant. Key phrase is present and appropriate.</t>
        </is>
      </c>
      <c r="D6" s="7" t="inlineStr">
        <is>
          <t>Generally accurate vocabulary and grammar. Minor errors that do not affect understanding.</t>
        </is>
      </c>
      <c r="E6" s="7" t="inlineStr">
        <is>
          <t>Mostly confident. Maintains eye contact most of the time. Pace and volume mostly appropriate.</t>
        </is>
      </c>
      <c r="F6" s="7" t="inlineStr">
        <is>
          <t>Clear structure with a recognizable opening, body, and closing. Slight weakness in one area.</t>
        </is>
      </c>
      <c r="G6" s="7" t="inlineStr">
        <is>
          <t>Good — meets expectations with only minor gaps. A strong performance overall.</t>
        </is>
      </c>
    </row>
    <row r="7" ht="72" customHeight="1">
      <c r="A7" s="4" t="n">
        <v>3</v>
      </c>
      <c r="B7" s="4" t="inlineStr">
        <is>
          <t>B</t>
        </is>
      </c>
      <c r="C7" s="5" t="inlineStr">
        <is>
          <t>Idea is present but somewhat vague. Message could be clearer or more focused.</t>
        </is>
      </c>
      <c r="D7" s="5" t="inlineStr">
        <is>
          <t>Some vocabulary and grammar errors. Communication is understandable but limited.</t>
        </is>
      </c>
      <c r="E7" s="5" t="inlineStr">
        <is>
          <t>Somewhat nervous. Reads notes occasionally. Pace is uneven at times.</t>
        </is>
      </c>
      <c r="F7" s="5" t="inlineStr">
        <is>
          <t>Some structure is evident but transitions between sections are weak.</t>
        </is>
      </c>
      <c r="G7" s="5" t="inlineStr">
        <is>
          <t>Satisfactory — meets basic expectations. Some areas need improvement.</t>
        </is>
      </c>
    </row>
    <row r="8" ht="72" customHeight="1">
      <c r="A8" s="6" t="n">
        <v>2</v>
      </c>
      <c r="B8" s="6" t="inlineStr">
        <is>
          <t>C</t>
        </is>
      </c>
      <c r="C8" s="7" t="inlineStr">
        <is>
          <t>Idea is unclear or underdeveloped. Message is difficult to identify.</t>
        </is>
      </c>
      <c r="D8" s="7" t="inlineStr">
        <is>
          <t>Frequent errors in vocabulary or grammar. Meaning is sometimes unclear.</t>
        </is>
      </c>
      <c r="E8" s="7" t="inlineStr">
        <is>
          <t>Noticeably nervous. Relies heavily on notes. Difficult to follow at times.</t>
        </is>
      </c>
      <c r="F8" s="7" t="inlineStr">
        <is>
          <t>Structure is weak. Difficult to identify a clear opening or closing.</t>
        </is>
      </c>
      <c r="G8" s="7" t="inlineStr">
        <is>
          <t>Needs improvement — partially meets expectations. Significant revision needed.</t>
        </is>
      </c>
    </row>
    <row r="9" ht="72" customHeight="1">
      <c r="A9" s="4" t="n">
        <v>1</v>
      </c>
      <c r="B9" s="4" t="inlineStr">
        <is>
          <t>D</t>
        </is>
      </c>
      <c r="C9" s="5" t="inlineStr">
        <is>
          <t>No clear idea or message. Talk is off-topic or extremely brief.</t>
        </is>
      </c>
      <c r="D9" s="5" t="inlineStr">
        <is>
          <t>Errors seriously impede communication. Very limited vocabulary.</t>
        </is>
      </c>
      <c r="E9" s="5" t="inlineStr">
        <is>
          <t>Inaudible or incomprehensible. No eye contact. Reads entire talk from notes.</t>
        </is>
      </c>
      <c r="F9" s="5" t="inlineStr">
        <is>
          <t>No identifiable structure. Very difficult to follow.</t>
        </is>
      </c>
      <c r="G9" s="5" t="inlineStr">
        <is>
          <t>Insufficient — does not meet basic expectations. Requires significant support.</t>
        </is>
      </c>
    </row>
    <row r="11" ht="20" customHeight="1">
      <c r="A11" s="8" t="inlineStr">
        <is>
          <t>使用說明：整體印象分（1–5分）——老師觀察學生整體表現後給分，不需要四個向度分開計算。右側欄位供現場參考。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2" customWidth="1" min="4" max="4"/>
    <col width="30" customWidth="1" min="5" max="5"/>
  </cols>
  <sheetData>
    <row r="1" ht="36" customHeight="1">
      <c r="A1" s="1" t="inlineStr">
        <is>
          <t>L7 TED Talks 口說活動 — 班級計分表</t>
        </is>
      </c>
    </row>
    <row r="2" ht="18" customHeight="1">
      <c r="A2" s="2" t="inlineStr">
        <is>
          <t>班級：＿＿＿＿　　日期：＿＿＿＿　　授課教師：林怡青老師</t>
        </is>
      </c>
    </row>
    <row r="3" ht="8" customHeight="1"/>
    <row r="4" ht="26" customHeight="1">
      <c r="A4" s="3" t="inlineStr">
        <is>
          <t>座號</t>
        </is>
      </c>
      <c r="B4" s="9" t="inlineStr">
        <is>
          <t>姓名</t>
        </is>
      </c>
      <c r="C4" s="3" t="inlineStr">
        <is>
          <t>整體印象分（1–5）</t>
        </is>
      </c>
      <c r="D4" s="3" t="inlineStr">
        <is>
          <t>等第</t>
        </is>
      </c>
      <c r="E4" s="9" t="inlineStr">
        <is>
          <t>備註</t>
        </is>
      </c>
    </row>
    <row r="5" ht="20" customHeight="1">
      <c r="A5" s="10" t="n">
        <v>1</v>
      </c>
      <c r="B5" s="11" t="inlineStr"/>
      <c r="C5" s="12" t="inlineStr"/>
      <c r="D5" s="13">
        <f>IF(C5="","",IF(C5&gt;=5,"A+",IF(C5=4,"A",IF(C5=3,"B",IF(C5=2,"C","D")))))</f>
        <v/>
      </c>
      <c r="E5" s="11" t="inlineStr"/>
    </row>
    <row r="6" ht="20" customHeight="1">
      <c r="A6" s="14" t="n">
        <v>2</v>
      </c>
      <c r="B6" s="15" t="inlineStr"/>
      <c r="C6" s="16" t="inlineStr"/>
      <c r="D6" s="17">
        <f>IF(C6="","",IF(C6&gt;=5,"A+",IF(C6=4,"A",IF(C6=3,"B",IF(C6=2,"C","D")))))</f>
        <v/>
      </c>
      <c r="E6" s="15" t="inlineStr"/>
    </row>
    <row r="7" ht="20" customHeight="1">
      <c r="A7" s="10" t="n">
        <v>3</v>
      </c>
      <c r="B7" s="11" t="inlineStr"/>
      <c r="C7" s="12" t="inlineStr"/>
      <c r="D7" s="13">
        <f>IF(C7="","",IF(C7&gt;=5,"A+",IF(C7=4,"A",IF(C7=3,"B",IF(C7=2,"C","D")))))</f>
        <v/>
      </c>
      <c r="E7" s="11" t="inlineStr"/>
    </row>
    <row r="8" ht="20" customHeight="1">
      <c r="A8" s="14" t="n">
        <v>4</v>
      </c>
      <c r="B8" s="15" t="inlineStr"/>
      <c r="C8" s="16" t="inlineStr"/>
      <c r="D8" s="17">
        <f>IF(C8="","",IF(C8&gt;=5,"A+",IF(C8=4,"A",IF(C8=3,"B",IF(C8=2,"C","D")))))</f>
        <v/>
      </c>
      <c r="E8" s="15" t="inlineStr"/>
    </row>
    <row r="9" ht="20" customHeight="1">
      <c r="A9" s="10" t="n">
        <v>5</v>
      </c>
      <c r="B9" s="11" t="inlineStr"/>
      <c r="C9" s="12" t="inlineStr"/>
      <c r="D9" s="13">
        <f>IF(C9="","",IF(C9&gt;=5,"A+",IF(C9=4,"A",IF(C9=3,"B",IF(C9=2,"C","D")))))</f>
        <v/>
      </c>
      <c r="E9" s="11" t="inlineStr"/>
    </row>
    <row r="10" ht="20" customHeight="1">
      <c r="A10" s="14" t="n">
        <v>6</v>
      </c>
      <c r="B10" s="15" t="inlineStr"/>
      <c r="C10" s="16" t="inlineStr"/>
      <c r="D10" s="17">
        <f>IF(C10="","",IF(C10&gt;=5,"A+",IF(C10=4,"A",IF(C10=3,"B",IF(C10=2,"C","D")))))</f>
        <v/>
      </c>
      <c r="E10" s="15" t="inlineStr"/>
    </row>
    <row r="11" ht="20" customHeight="1">
      <c r="A11" s="10" t="n">
        <v>7</v>
      </c>
      <c r="B11" s="11" t="inlineStr"/>
      <c r="C11" s="12" t="inlineStr"/>
      <c r="D11" s="13">
        <f>IF(C11="","",IF(C11&gt;=5,"A+",IF(C11=4,"A",IF(C11=3,"B",IF(C11=2,"C","D")))))</f>
        <v/>
      </c>
      <c r="E11" s="11" t="inlineStr"/>
    </row>
    <row r="12" ht="20" customHeight="1">
      <c r="A12" s="14" t="n">
        <v>8</v>
      </c>
      <c r="B12" s="15" t="inlineStr"/>
      <c r="C12" s="16" t="inlineStr"/>
      <c r="D12" s="17">
        <f>IF(C12="","",IF(C12&gt;=5,"A+",IF(C12=4,"A",IF(C12=3,"B",IF(C12=2,"C","D")))))</f>
        <v/>
      </c>
      <c r="E12" s="15" t="inlineStr"/>
    </row>
    <row r="13" ht="20" customHeight="1">
      <c r="A13" s="10" t="n">
        <v>9</v>
      </c>
      <c r="B13" s="11" t="inlineStr"/>
      <c r="C13" s="12" t="inlineStr"/>
      <c r="D13" s="13">
        <f>IF(C13="","",IF(C13&gt;=5,"A+",IF(C13=4,"A",IF(C13=3,"B",IF(C13=2,"C","D")))))</f>
        <v/>
      </c>
      <c r="E13" s="11" t="inlineStr"/>
    </row>
    <row r="14" ht="20" customHeight="1">
      <c r="A14" s="14" t="n">
        <v>10</v>
      </c>
      <c r="B14" s="15" t="inlineStr"/>
      <c r="C14" s="16" t="inlineStr"/>
      <c r="D14" s="17">
        <f>IF(C14="","",IF(C14&gt;=5,"A+",IF(C14=4,"A",IF(C14=3,"B",IF(C14=2,"C","D")))))</f>
        <v/>
      </c>
      <c r="E14" s="15" t="inlineStr"/>
    </row>
    <row r="15" ht="20" customHeight="1">
      <c r="A15" s="10" t="n">
        <v>11</v>
      </c>
      <c r="B15" s="11" t="inlineStr"/>
      <c r="C15" s="12" t="inlineStr"/>
      <c r="D15" s="13">
        <f>IF(C15="","",IF(C15&gt;=5,"A+",IF(C15=4,"A",IF(C15=3,"B",IF(C15=2,"C","D")))))</f>
        <v/>
      </c>
      <c r="E15" s="11" t="inlineStr"/>
    </row>
    <row r="16" ht="20" customHeight="1">
      <c r="A16" s="14" t="n">
        <v>12</v>
      </c>
      <c r="B16" s="15" t="inlineStr"/>
      <c r="C16" s="16" t="inlineStr"/>
      <c r="D16" s="17">
        <f>IF(C16="","",IF(C16&gt;=5,"A+",IF(C16=4,"A",IF(C16=3,"B",IF(C16=2,"C","D")))))</f>
        <v/>
      </c>
      <c r="E16" s="15" t="inlineStr"/>
    </row>
    <row r="17" ht="20" customHeight="1">
      <c r="A17" s="10" t="n">
        <v>13</v>
      </c>
      <c r="B17" s="11" t="inlineStr"/>
      <c r="C17" s="12" t="inlineStr"/>
      <c r="D17" s="13">
        <f>IF(C17="","",IF(C17&gt;=5,"A+",IF(C17=4,"A",IF(C17=3,"B",IF(C17=2,"C","D")))))</f>
        <v/>
      </c>
      <c r="E17" s="11" t="inlineStr"/>
    </row>
    <row r="18" ht="20" customHeight="1">
      <c r="A18" s="14" t="n">
        <v>14</v>
      </c>
      <c r="B18" s="15" t="inlineStr"/>
      <c r="C18" s="16" t="inlineStr"/>
      <c r="D18" s="17">
        <f>IF(C18="","",IF(C18&gt;=5,"A+",IF(C18=4,"A",IF(C18=3,"B",IF(C18=2,"C","D")))))</f>
        <v/>
      </c>
      <c r="E18" s="15" t="inlineStr"/>
    </row>
    <row r="19" ht="20" customHeight="1">
      <c r="A19" s="10" t="n">
        <v>15</v>
      </c>
      <c r="B19" s="11" t="inlineStr"/>
      <c r="C19" s="12" t="inlineStr"/>
      <c r="D19" s="13">
        <f>IF(C19="","",IF(C19&gt;=5,"A+",IF(C19=4,"A",IF(C19=3,"B",IF(C19=2,"C","D")))))</f>
        <v/>
      </c>
      <c r="E19" s="11" t="inlineStr"/>
    </row>
    <row r="20" ht="20" customHeight="1">
      <c r="A20" s="14" t="n">
        <v>16</v>
      </c>
      <c r="B20" s="15" t="inlineStr"/>
      <c r="C20" s="16" t="inlineStr"/>
      <c r="D20" s="17">
        <f>IF(C20="","",IF(C20&gt;=5,"A+",IF(C20=4,"A",IF(C20=3,"B",IF(C20=2,"C","D")))))</f>
        <v/>
      </c>
      <c r="E20" s="15" t="inlineStr"/>
    </row>
    <row r="21" ht="20" customHeight="1">
      <c r="A21" s="10" t="n">
        <v>17</v>
      </c>
      <c r="B21" s="11" t="inlineStr"/>
      <c r="C21" s="12" t="inlineStr"/>
      <c r="D21" s="13">
        <f>IF(C21="","",IF(C21&gt;=5,"A+",IF(C21=4,"A",IF(C21=3,"B",IF(C21=2,"C","D")))))</f>
        <v/>
      </c>
      <c r="E21" s="11" t="inlineStr"/>
    </row>
    <row r="22" ht="20" customHeight="1">
      <c r="A22" s="14" t="n">
        <v>18</v>
      </c>
      <c r="B22" s="15" t="inlineStr"/>
      <c r="C22" s="16" t="inlineStr"/>
      <c r="D22" s="17">
        <f>IF(C22="","",IF(C22&gt;=5,"A+",IF(C22=4,"A",IF(C22=3,"B",IF(C22=2,"C","D")))))</f>
        <v/>
      </c>
      <c r="E22" s="15" t="inlineStr"/>
    </row>
    <row r="23" ht="20" customHeight="1">
      <c r="A23" s="10" t="n">
        <v>19</v>
      </c>
      <c r="B23" s="11" t="inlineStr"/>
      <c r="C23" s="12" t="inlineStr"/>
      <c r="D23" s="13">
        <f>IF(C23="","",IF(C23&gt;=5,"A+",IF(C23=4,"A",IF(C23=3,"B",IF(C23=2,"C","D")))))</f>
        <v/>
      </c>
      <c r="E23" s="11" t="inlineStr"/>
    </row>
    <row r="24" ht="20" customHeight="1">
      <c r="A24" s="14" t="n">
        <v>20</v>
      </c>
      <c r="B24" s="15" t="inlineStr"/>
      <c r="C24" s="16" t="inlineStr"/>
      <c r="D24" s="17">
        <f>IF(C24="","",IF(C24&gt;=5,"A+",IF(C24=4,"A",IF(C24=3,"B",IF(C24=2,"C","D")))))</f>
        <v/>
      </c>
      <c r="E24" s="15" t="inlineStr"/>
    </row>
    <row r="25" ht="20" customHeight="1">
      <c r="A25" s="10" t="n">
        <v>21</v>
      </c>
      <c r="B25" s="11" t="inlineStr"/>
      <c r="C25" s="12" t="inlineStr"/>
      <c r="D25" s="13">
        <f>IF(C25="","",IF(C25&gt;=5,"A+",IF(C25=4,"A",IF(C25=3,"B",IF(C25=2,"C","D")))))</f>
        <v/>
      </c>
      <c r="E25" s="11" t="inlineStr"/>
    </row>
    <row r="26" ht="20" customHeight="1">
      <c r="A26" s="14" t="n">
        <v>22</v>
      </c>
      <c r="B26" s="15" t="inlineStr"/>
      <c r="C26" s="16" t="inlineStr"/>
      <c r="D26" s="17">
        <f>IF(C26="","",IF(C26&gt;=5,"A+",IF(C26=4,"A",IF(C26=3,"B",IF(C26=2,"C","D")))))</f>
        <v/>
      </c>
      <c r="E26" s="15" t="inlineStr"/>
    </row>
    <row r="27" ht="20" customHeight="1">
      <c r="A27" s="10" t="n">
        <v>23</v>
      </c>
      <c r="B27" s="11" t="inlineStr"/>
      <c r="C27" s="12" t="inlineStr"/>
      <c r="D27" s="13">
        <f>IF(C27="","",IF(C27&gt;=5,"A+",IF(C27=4,"A",IF(C27=3,"B",IF(C27=2,"C","D")))))</f>
        <v/>
      </c>
      <c r="E27" s="11" t="inlineStr"/>
    </row>
    <row r="28" ht="20" customHeight="1">
      <c r="A28" s="14" t="n">
        <v>24</v>
      </c>
      <c r="B28" s="15" t="inlineStr"/>
      <c r="C28" s="16" t="inlineStr"/>
      <c r="D28" s="17">
        <f>IF(C28="","",IF(C28&gt;=5,"A+",IF(C28=4,"A",IF(C28=3,"B",IF(C28=2,"C","D")))))</f>
        <v/>
      </c>
      <c r="E28" s="15" t="inlineStr"/>
    </row>
    <row r="29" ht="20" customHeight="1">
      <c r="A29" s="10" t="n">
        <v>25</v>
      </c>
      <c r="B29" s="11" t="inlineStr"/>
      <c r="C29" s="12" t="inlineStr"/>
      <c r="D29" s="13">
        <f>IF(C29="","",IF(C29&gt;=5,"A+",IF(C29=4,"A",IF(C29=3,"B",IF(C29=2,"C","D")))))</f>
        <v/>
      </c>
      <c r="E29" s="11" t="inlineStr"/>
    </row>
    <row r="30" ht="20" customHeight="1">
      <c r="A30" s="14" t="n">
        <v>26</v>
      </c>
      <c r="B30" s="15" t="inlineStr"/>
      <c r="C30" s="16" t="inlineStr"/>
      <c r="D30" s="17">
        <f>IF(C30="","",IF(C30&gt;=5,"A+",IF(C30=4,"A",IF(C30=3,"B",IF(C30=2,"C","D")))))</f>
        <v/>
      </c>
      <c r="E30" s="15" t="inlineStr"/>
    </row>
    <row r="31" ht="20" customHeight="1">
      <c r="A31" s="10" t="n">
        <v>27</v>
      </c>
      <c r="B31" s="11" t="inlineStr"/>
      <c r="C31" s="12" t="inlineStr"/>
      <c r="D31" s="13">
        <f>IF(C31="","",IF(C31&gt;=5,"A+",IF(C31=4,"A",IF(C31=3,"B",IF(C31=2,"C","D")))))</f>
        <v/>
      </c>
      <c r="E31" s="11" t="inlineStr"/>
    </row>
    <row r="32" ht="20" customHeight="1">
      <c r="A32" s="14" t="n">
        <v>28</v>
      </c>
      <c r="B32" s="15" t="inlineStr"/>
      <c r="C32" s="16" t="inlineStr"/>
      <c r="D32" s="17">
        <f>IF(C32="","",IF(C32&gt;=5,"A+",IF(C32=4,"A",IF(C32=3,"B",IF(C32=2,"C","D")))))</f>
        <v/>
      </c>
      <c r="E32" s="15" t="inlineStr"/>
    </row>
    <row r="33" ht="20" customHeight="1">
      <c r="A33" s="10" t="n">
        <v>29</v>
      </c>
      <c r="B33" s="11" t="inlineStr"/>
      <c r="C33" s="12" t="inlineStr"/>
      <c r="D33" s="13">
        <f>IF(C33="","",IF(C33&gt;=5,"A+",IF(C33=4,"A",IF(C33=3,"B",IF(C33=2,"C","D")))))</f>
        <v/>
      </c>
      <c r="E33" s="11" t="inlineStr"/>
    </row>
    <row r="34" ht="20" customHeight="1">
      <c r="A34" s="14" t="n">
        <v>30</v>
      </c>
      <c r="B34" s="15" t="inlineStr"/>
      <c r="C34" s="16" t="inlineStr"/>
      <c r="D34" s="17">
        <f>IF(C34="","",IF(C34&gt;=5,"A+",IF(C34=4,"A",IF(C34=3,"B",IF(C34=2,"C","D")))))</f>
        <v/>
      </c>
      <c r="E34" s="15" t="inlineStr"/>
    </row>
    <row r="36" ht="26" customHeight="1">
      <c r="A36" s="18" t="inlineStr">
        <is>
          <t>全班平均</t>
        </is>
      </c>
      <c r="C36" s="19">
        <f>IFERROR(AVERAGEIF(C5:C34,"&gt;0"),"")</f>
        <v/>
      </c>
      <c r="D36" s="15" t="inlineStr"/>
      <c r="E36" s="15" t="inlineStr"/>
    </row>
    <row r="38" ht="20" customHeight="1">
      <c r="A38" s="20" t="inlineStr">
        <is>
          <t>等第分佈統計</t>
        </is>
      </c>
    </row>
    <row r="39" ht="18" customHeight="1">
      <c r="A39" s="21" t="inlineStr">
        <is>
          <t>等第 A+</t>
        </is>
      </c>
      <c r="B39" s="17">
        <f>COUNTIF(D5:D34,"A+")</f>
        <v/>
      </c>
      <c r="C39" s="22" t="inlineStr">
        <is>
          <t>人</t>
        </is>
      </c>
      <c r="D39" s="23" t="inlineStr"/>
      <c r="E39" s="23" t="inlineStr"/>
    </row>
    <row r="40" ht="18" customHeight="1">
      <c r="A40" s="21" t="inlineStr">
        <is>
          <t>等第 A</t>
        </is>
      </c>
      <c r="B40" s="17">
        <f>COUNTIF(D5:D34,"A")</f>
        <v/>
      </c>
      <c r="C40" s="22" t="inlineStr">
        <is>
          <t>人</t>
        </is>
      </c>
      <c r="D40" s="23" t="inlineStr"/>
      <c r="E40" s="23" t="inlineStr"/>
    </row>
    <row r="41" ht="18" customHeight="1">
      <c r="A41" s="21" t="inlineStr">
        <is>
          <t>等第 B</t>
        </is>
      </c>
      <c r="B41" s="17">
        <f>COUNTIF(D5:D34,"B")</f>
        <v/>
      </c>
      <c r="C41" s="22" t="inlineStr">
        <is>
          <t>人</t>
        </is>
      </c>
      <c r="D41" s="23" t="inlineStr"/>
      <c r="E41" s="23" t="inlineStr"/>
    </row>
    <row r="42" ht="18" customHeight="1">
      <c r="A42" s="21" t="inlineStr">
        <is>
          <t>等第 C</t>
        </is>
      </c>
      <c r="B42" s="17">
        <f>COUNTIF(D5:D34,"C")</f>
        <v/>
      </c>
      <c r="C42" s="22" t="inlineStr">
        <is>
          <t>人</t>
        </is>
      </c>
      <c r="D42" s="23" t="inlineStr"/>
      <c r="E42" s="23" t="inlineStr"/>
    </row>
    <row r="43" ht="18" customHeight="1">
      <c r="A43" s="21" t="inlineStr">
        <is>
          <t>等第 D</t>
        </is>
      </c>
      <c r="B43" s="17">
        <f>COUNTIF(D5:D34,"D")</f>
        <v/>
      </c>
      <c r="C43" s="22" t="inlineStr">
        <is>
          <t>人</t>
        </is>
      </c>
      <c r="D43" s="23" t="inlineStr"/>
      <c r="E43" s="23" t="inlineStr"/>
    </row>
    <row r="45">
      <c r="A45" s="8" t="inlineStr">
        <is>
          <t>使用說明：在「整體印象分」欄位填入 1–5 的分數，等第和統計會自動計算。</t>
        </is>
      </c>
    </row>
  </sheetData>
  <mergeCells count="5">
    <mergeCell ref="A38:E38"/>
    <mergeCell ref="A2:E2"/>
    <mergeCell ref="A36:B36"/>
    <mergeCell ref="A1:E1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2026-05-14T00:40:41Z</dcterms:created>
  <dcterms:modified xmlns:dcterms="http://purl.org/dc/terms/" xmlns:xsi="http://www.w3.org/2001/XMLSchema-instance" xsi:type="dcterms:W3CDTF">2026-05-14T00:40:41Z</dcterms:modified>
</cp:coreProperties>
</file>